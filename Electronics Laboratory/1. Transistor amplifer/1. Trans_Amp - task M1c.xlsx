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 capacitor" sheetId="1" r:id="rId5"/>
  </sheets>
  <definedNames/>
  <calcPr/>
</workbook>
</file>

<file path=xl/sharedStrings.xml><?xml version="1.0" encoding="utf-8"?>
<sst xmlns="http://schemas.openxmlformats.org/spreadsheetml/2006/main" count="6" uniqueCount="6">
  <si>
    <t>f (Hz)</t>
  </si>
  <si>
    <t>Uin (mV)</t>
  </si>
  <si>
    <t>Uout (mV)</t>
  </si>
  <si>
    <t>Au</t>
  </si>
  <si>
    <t>au</t>
  </si>
  <si>
    <t>phase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</si>
</sst>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phase dif vs frequency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'with capacitor'!$A$6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'with capacitor'!$B$1:$Z$1</c:f>
            </c:strRef>
          </c:cat>
          <c:val>
            <c:numRef>
              <c:f>'with capacitor'!$B$6:$Z$6</c:f>
              <c:numCache/>
            </c:numRef>
          </c:val>
          <c:smooth val="0"/>
        </c:ser>
        <c:axId val="618267709"/>
        <c:axId val="97274970"/>
      </c:lineChart>
      <c:catAx>
        <c:axId val="618267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274970"/>
      </c:catAx>
      <c:valAx>
        <c:axId val="972749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2677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au vs frequency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'with capacitor'!$A$5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'with capacitor'!$B$1:$Z$1</c:f>
            </c:strRef>
          </c:cat>
          <c:val>
            <c:numRef>
              <c:f>'with capacitor'!$B$5:$Z$5</c:f>
              <c:numCache/>
            </c:numRef>
          </c:val>
          <c:smooth val="0"/>
        </c:ser>
        <c:axId val="799884117"/>
        <c:axId val="531257159"/>
      </c:lineChart>
      <c:catAx>
        <c:axId val="799884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1257159"/>
      </c:catAx>
      <c:valAx>
        <c:axId val="5312571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8841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7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200025</xdr:colOff>
      <xdr:row>7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5"/>
    <col customWidth="1" min="3" max="3" width="8.25"/>
    <col customWidth="1" min="4" max="4" width="10.88"/>
  </cols>
  <sheetData>
    <row r="1">
      <c r="A1" s="1" t="s">
        <v>0</v>
      </c>
      <c r="B1" s="1">
        <v>50.0</v>
      </c>
      <c r="C1" s="1">
        <v>100.0</v>
      </c>
      <c r="D1" s="1">
        <v>200.0</v>
      </c>
      <c r="E1" s="1">
        <v>500.0</v>
      </c>
      <c r="F1" s="1">
        <v>1000.0</v>
      </c>
      <c r="G1" s="1">
        <v>2000.0</v>
      </c>
      <c r="H1" s="1">
        <v>5000.0</v>
      </c>
      <c r="I1" s="1">
        <v>10000.0</v>
      </c>
      <c r="J1" s="1">
        <v>20000.0</v>
      </c>
      <c r="K1" s="1">
        <v>50000.0</v>
      </c>
      <c r="L1" s="1">
        <v>100000.0</v>
      </c>
    </row>
    <row r="2">
      <c r="A2" s="1" t="s">
        <v>1</v>
      </c>
      <c r="B2" s="1">
        <v>50.0</v>
      </c>
      <c r="C2" s="1">
        <v>50.0</v>
      </c>
      <c r="D2" s="1">
        <v>50.0</v>
      </c>
      <c r="E2" s="1">
        <v>50.0</v>
      </c>
      <c r="F2" s="1">
        <v>50.0</v>
      </c>
      <c r="G2" s="1">
        <v>50.0</v>
      </c>
      <c r="H2" s="1">
        <v>50.0</v>
      </c>
      <c r="I2" s="1">
        <v>50.0</v>
      </c>
      <c r="J2" s="1">
        <v>50.0</v>
      </c>
      <c r="K2" s="1">
        <v>50.0</v>
      </c>
      <c r="L2" s="1">
        <v>50.0</v>
      </c>
    </row>
    <row r="3">
      <c r="A3" s="1" t="s">
        <v>2</v>
      </c>
      <c r="B3" s="1">
        <v>2120.0</v>
      </c>
      <c r="C3" s="1">
        <v>3120.0</v>
      </c>
      <c r="D3" s="1">
        <v>3520.0</v>
      </c>
      <c r="E3" s="1">
        <v>3600.0</v>
      </c>
      <c r="F3" s="1">
        <v>3640.0</v>
      </c>
      <c r="G3" s="1">
        <v>3600.0</v>
      </c>
      <c r="H3" s="1">
        <v>3400.0</v>
      </c>
      <c r="I3" s="1">
        <v>2960.0</v>
      </c>
      <c r="J3" s="1">
        <v>2000.0</v>
      </c>
      <c r="K3" s="1">
        <v>960.0</v>
      </c>
      <c r="L3" s="1">
        <v>520.0</v>
      </c>
    </row>
    <row r="4">
      <c r="A4" s="1" t="s">
        <v>3</v>
      </c>
      <c r="B4" s="2">
        <f t="shared" ref="B4:L4" si="1">B3/B2</f>
        <v>42.4</v>
      </c>
      <c r="C4" s="2">
        <f t="shared" si="1"/>
        <v>62.4</v>
      </c>
      <c r="D4" s="2">
        <f t="shared" si="1"/>
        <v>70.4</v>
      </c>
      <c r="E4" s="2">
        <f t="shared" si="1"/>
        <v>72</v>
      </c>
      <c r="F4" s="2">
        <f t="shared" si="1"/>
        <v>72.8</v>
      </c>
      <c r="G4" s="2">
        <f t="shared" si="1"/>
        <v>72</v>
      </c>
      <c r="H4" s="2">
        <f t="shared" si="1"/>
        <v>68</v>
      </c>
      <c r="I4" s="2">
        <f t="shared" si="1"/>
        <v>59.2</v>
      </c>
      <c r="J4" s="2">
        <f t="shared" si="1"/>
        <v>40</v>
      </c>
      <c r="K4" s="2">
        <f t="shared" si="1"/>
        <v>19.2</v>
      </c>
      <c r="L4" s="2">
        <f t="shared" si="1"/>
        <v>10.4</v>
      </c>
    </row>
    <row r="5">
      <c r="A5" s="1" t="s">
        <v>4</v>
      </c>
      <c r="B5" s="2">
        <f t="shared" ref="B5:L5" si="2">20*LOG10(B4)</f>
        <v>32.54731713</v>
      </c>
      <c r="C5" s="2">
        <f t="shared" si="2"/>
        <v>35.90369179</v>
      </c>
      <c r="D5" s="2">
        <f t="shared" si="2"/>
        <v>36.95145318</v>
      </c>
      <c r="E5" s="2">
        <f t="shared" si="2"/>
        <v>37.14664993</v>
      </c>
      <c r="F5" s="2">
        <f t="shared" si="2"/>
        <v>37.24262759</v>
      </c>
      <c r="G5" s="2">
        <f t="shared" si="2"/>
        <v>37.14664993</v>
      </c>
      <c r="H5" s="2">
        <f t="shared" si="2"/>
        <v>36.65017825</v>
      </c>
      <c r="I5" s="2">
        <f t="shared" si="2"/>
        <v>35.44643413</v>
      </c>
      <c r="J5" s="2">
        <f t="shared" si="2"/>
        <v>32.04119983</v>
      </c>
      <c r="K5" s="2">
        <f t="shared" si="2"/>
        <v>25.66602457</v>
      </c>
      <c r="L5" s="2">
        <f t="shared" si="2"/>
        <v>20.34066679</v>
      </c>
    </row>
    <row r="6">
      <c r="A6" s="1" t="s">
        <v>5</v>
      </c>
      <c r="B6" s="1">
        <v>112.0</v>
      </c>
      <c r="C6" s="1">
        <v>133.0</v>
      </c>
      <c r="D6" s="1">
        <v>156.0</v>
      </c>
      <c r="E6" s="1">
        <v>169.0</v>
      </c>
      <c r="F6" s="1">
        <v>175.0</v>
      </c>
      <c r="G6" s="1">
        <v>183.0</v>
      </c>
      <c r="H6" s="1">
        <v>199.0</v>
      </c>
      <c r="I6" s="1">
        <v>218.0</v>
      </c>
      <c r="J6" s="1">
        <v>235.0</v>
      </c>
      <c r="K6" s="1">
        <v>253.0</v>
      </c>
      <c r="L6" s="1">
        <v>254.0</v>
      </c>
    </row>
  </sheetData>
  <drawing r:id="rId1"/>
</worksheet>
</file>